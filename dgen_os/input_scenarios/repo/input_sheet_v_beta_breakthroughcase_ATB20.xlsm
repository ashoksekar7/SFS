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autoCompressPictures="0"/>
  <mc:AlternateContent xmlns:mc="http://schemas.openxmlformats.org/markup-compatibility/2006">
    <mc:Choice Requires="x15">
      <x15ac:absPath xmlns:x15ac="http://schemas.microsoft.com/office/spreadsheetml/2010/11/ac" url="/Users/asekar/Documents/SFS/dgen_os/input_scenarios/archive/"/>
    </mc:Choice>
  </mc:AlternateContent>
  <xr:revisionPtr revIDLastSave="0" documentId="13_ncr:1_{09536F98-1688-F842-9862-CA6DE000CBF6}" xr6:coauthVersionLast="45" xr6:coauthVersionMax="45" xr10:uidLastSave="{00000000-0000-0000-0000-000000000000}"/>
  <bookViews>
    <workbookView xWindow="0" yWindow="460" windowWidth="28800" windowHeight="16080" tabRatio="936" xr2:uid="{00000000-000D-0000-FFFF-FFFF00000000}"/>
  </bookViews>
  <sheets>
    <sheet name="Main - Scenario Options" sheetId="2" r:id="rId1"/>
  </sheets>
  <definedNames>
    <definedName name="_xlnm._FilterDatabase" localSheetId="0" hidden="1">'Main - Scenario Options'!$E$150:$E$152</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Options'!$E$22</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Options'!$E$21</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Options'!$E$20</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Options'!$D$7:$D$23</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2" i="2" l="1"/>
  <c r="J203" i="2" s="1"/>
  <c r="J204" i="2" s="1"/>
  <c r="J205" i="2" s="1"/>
  <c r="J206" i="2" s="1"/>
  <c r="J207" i="2" s="1"/>
  <c r="J208" i="2" s="1"/>
  <c r="J209" i="2" s="1"/>
  <c r="J210" i="2" s="1"/>
  <c r="J211" i="2" s="1"/>
  <c r="J212" i="2" s="1"/>
  <c r="J213" i="2" s="1"/>
  <c r="J214" i="2" s="1"/>
  <c r="J215" i="2" s="1"/>
  <c r="J216" i="2" s="1"/>
  <c r="J217" i="2" s="1"/>
  <c r="J218" i="2" s="1"/>
  <c r="J219" i="2" s="1"/>
  <c r="J220" i="2" s="1"/>
  <c r="J221"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3"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<sst xmlns="http://schemas.openxmlformats.org/spreadsheetml/2006/main" count="124" uniqueCount="110">
  <si>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</si>
  <si>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</si>
  <si>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</si>
  <si>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</si>
  <si>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</si>
  <si>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</si>
  <si>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</si>
  <si>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</si>
  <si>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</si>
  <si>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</si>
  <si>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</si>
  <si>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</si>
  <si>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</si>
  <si>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</si>
  <si>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</si>
  <si>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</si>
  <si>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</si>
  <si>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</si>
  <si>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</si>
  <si>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</si>
  <si>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</si>
  <si>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</si>
  <si>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</si>
  <si>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</si>
  <si>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</si>
  <si>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</si>
  <si>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</si>
  <si>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</si>
  <si>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</si>
  <si>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</si>
  <si>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</si>
  <si>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</si>
  <si>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</si>
  <si>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</si>
  <si>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</si>
  <si>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</si>
  <si>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</si>
  <si>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</si>
  <si>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</si>
  <si>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</si>
  <si>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</si>
  <si>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</si>
  <si>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</si>
  <si>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</si>
  <si>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</si>
  <si>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</si>
  <si>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</si>
  <si>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</si>
  <si>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</si>
  <si>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</si>
  <si>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</si>
  <si>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</si>
  <si>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</si>
  <si>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</si>
  <si>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</si>
  <si>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</si>
  <si>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</si>
  <si>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</si>
  <si>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</si>
  <si>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</si>
  <si>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</si>
  <si>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</si>
  <si>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</si>
  <si>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</si>
  <si>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</si>
  <si>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</si>
  <si>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</si>
  <si>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</si>
  <si>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</si>
  <si>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</si>
  <si>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</si>
  <si>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</si>
  <si>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</si>
  <si>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</si>
  <si>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Region to Analyze (If generating new agents)</t>
  </si>
  <si>
    <t>Markets (If generating new agents)</t>
  </si>
  <si>
    <t>Storage Cost Scenario</t>
  </si>
  <si>
    <t>User Defined File</t>
  </si>
  <si>
    <t>reference</t>
  </si>
  <si>
    <t>batt_prices_FY17_mid</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</si>
  <si>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</si>
  <si>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</si>
  <si>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</si>
  <si>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</si>
  <si>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</si>
  <si>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</si>
  <si>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</si>
  <si>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</si>
  <si>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</si>
  <si>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</si>
  <si>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</si>
  <si>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pv_tech_performance_defaultFY19</t>
  </si>
  <si>
    <t>batt_tech_performance_FY19</t>
  </si>
  <si>
    <t>deprec_sch_FY19</t>
  </si>
  <si>
    <t>carbon_intensities_FY19</t>
  </si>
  <si>
    <t>Solar Only</t>
  </si>
  <si>
    <t>SPP</t>
  </si>
  <si>
    <t>NEISO</t>
  </si>
  <si>
    <t>NYISO</t>
  </si>
  <si>
    <t>CAISO</t>
  </si>
  <si>
    <t>ERCOT</t>
  </si>
  <si>
    <t>MISO</t>
  </si>
  <si>
    <t>PJM</t>
  </si>
  <si>
    <t>Technology (Solar + Storage)</t>
  </si>
  <si>
    <t>Solar</t>
  </si>
  <si>
    <t>agents_sfs_res</t>
  </si>
  <si>
    <t>ATB20_Breakthrough_PV_Cost_retail</t>
  </si>
  <si>
    <t>pv_price_atb20_breakthrough_pv_cost</t>
  </si>
  <si>
    <t>ATB20_Breakthrough_PV_Cost_wholesale</t>
  </si>
  <si>
    <t>financing_atb_FY20_rv_2030_default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</si>
</sst>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4">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21</xdr:row>
      <xdr:rowOff>127060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24</xdr:row>
          <xdr:rowOff>50800</xdr:rowOff>
        </xdr:from>
        <xdr:to>
          <xdr:col>4</xdr:col>
          <xdr:colOff>12700</xdr:colOff>
          <xdr:row>26</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6"/>
  <sheetViews>
    <sheetView tabSelected="1" zoomScale="80" zoomScaleNormal="80" zoomScalePageLayoutView="90" workbookViewId="0">
      <selection activeCell="E20" sqref="E20"/>
    </sheetView>
  </sheetViews>
  <sheetFormatPr baseColWidth="10" defaultColWidth="9.1640625" defaultRowHeight="14" x14ac:dyDescent="0.2"/>
  <cols>
    <col min="1" max="1" width="10.33203125" style="6" customWidth="1"/>
    <col min="2" max="2" width="3.5" style="42" customWidth="1"/>
    <col min="3" max="3" width="47.83203125"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77</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78</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103</v>
      </c>
      <c r="D8" s="62" t="s">
        <v>95</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105</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74</v>
      </c>
      <c r="D10" s="49" t="s">
        <v>4</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75</v>
      </c>
      <c r="D11" s="62" t="s">
        <v>7</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2050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80</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2" t="s">
        <v>106</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2" t="s">
        <v>108</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2" t="s">
        <v>107</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3" t="s">
        <v>91</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76</v>
      </c>
      <c r="D18" s="68" t="s">
        <v>62</v>
      </c>
      <c r="E18" s="72" t="s">
        <v>79</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2" t="s">
        <v>92</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66</v>
      </c>
      <c r="D20" s="68" t="s">
        <v>62</v>
      </c>
      <c r="E20" s="72" t="s">
        <v>109</v>
      </c>
      <c r="F20" s="1"/>
      <c r="G20" s="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67</v>
      </c>
      <c r="D21" s="68" t="s">
        <v>62</v>
      </c>
      <c r="E21" s="72" t="s">
        <v>93</v>
      </c>
      <c r="F21" s="28"/>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thickBot="1" x14ac:dyDescent="0.25">
      <c r="A22" s="1"/>
      <c r="B22" s="1"/>
      <c r="C22" s="66" t="s">
        <v>68</v>
      </c>
      <c r="D22" s="68" t="s">
        <v>62</v>
      </c>
      <c r="E22" s="71" t="s">
        <v>94</v>
      </c>
      <c r="F22" s="1"/>
      <c r="G22" s="52"/>
      <c r="H22" s="52"/>
      <c r="I22" s="52"/>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thickBot="1" x14ac:dyDescent="0.25">
      <c r="A23" s="1"/>
      <c r="B23" s="1"/>
      <c r="C23" s="57" t="s">
        <v>9</v>
      </c>
      <c r="D23" s="69">
        <v>1</v>
      </c>
      <c r="E23" s="58"/>
      <c r="F23" s="1"/>
      <c r="G23" s="52"/>
      <c r="H23" s="52"/>
      <c r="I23" s="52"/>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x14ac:dyDescent="0.2">
      <c r="A24" s="1"/>
      <c r="B24" s="1"/>
      <c r="C24" s="44"/>
      <c r="D24" s="44"/>
      <c r="E24" s="3"/>
      <c r="F24" s="1"/>
      <c r="G24" s="3"/>
      <c r="H24" s="3"/>
      <c r="I24" s="3"/>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x14ac:dyDescent="0.2">
      <c r="A25" s="1"/>
      <c r="B25" s="1"/>
      <c r="C25" s="44"/>
      <c r="D25" s="44"/>
      <c r="E25" s="24"/>
      <c r="F25" s="25"/>
      <c r="G25" s="25"/>
      <c r="H25" s="1"/>
      <c r="I25" s="26"/>
      <c r="J25" s="2"/>
      <c r="K25" s="2"/>
      <c r="L25" s="3"/>
      <c r="M25" s="3"/>
      <c r="N25" s="3"/>
      <c r="O25" s="3"/>
      <c r="P25" s="3"/>
      <c r="Q25" s="3"/>
      <c r="R25" s="3"/>
      <c r="S25" s="3"/>
      <c r="T25" s="3"/>
      <c r="U25" s="3"/>
      <c r="V25" s="4"/>
      <c r="W25" s="4"/>
      <c r="X25" s="4"/>
      <c r="Y25" s="4"/>
      <c r="Z25" s="4"/>
      <c r="AA25" s="4"/>
      <c r="AB25" s="4"/>
      <c r="AC25" s="5"/>
      <c r="AD25" s="5"/>
      <c r="AE25" s="5"/>
      <c r="AF25" s="5"/>
      <c r="AG25" s="5"/>
      <c r="AH25" s="5"/>
      <c r="AI25" s="5"/>
      <c r="AJ25" s="5"/>
      <c r="AK25" s="5"/>
      <c r="AL25" s="5"/>
      <c r="AM25" s="5"/>
      <c r="AN25" s="5"/>
      <c r="AO25" s="5"/>
      <c r="AP25" s="5"/>
      <c r="AQ25" s="5"/>
      <c r="AR25" s="5"/>
      <c r="AS25" s="5"/>
      <c r="AT25" s="5"/>
      <c r="AU25" s="5"/>
      <c r="AV25" s="5"/>
      <c r="AW25" s="5"/>
      <c r="AX25" s="5"/>
    </row>
    <row r="26" spans="1:50" x14ac:dyDescent="0.2">
      <c r="A26" s="1"/>
      <c r="B26" s="1"/>
      <c r="C26" s="44"/>
      <c r="D26" s="44"/>
      <c r="E26" s="24"/>
      <c r="F26" s="25"/>
      <c r="G26" s="25"/>
      <c r="H26" s="1"/>
      <c r="I26" s="26"/>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5"/>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27"/>
      <c r="D29" s="5"/>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27"/>
      <c r="D30" s="5"/>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1"/>
      <c r="B32" s="1"/>
      <c r="C32" s="27"/>
      <c r="D32" s="5"/>
      <c r="E32" s="24"/>
      <c r="F32" s="25"/>
      <c r="G32" s="25"/>
      <c r="H32" s="1"/>
      <c r="I32" s="26"/>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x14ac:dyDescent="0.2">
      <c r="A33" s="1"/>
      <c r="B33" s="1"/>
      <c r="C33" s="27"/>
      <c r="D33" s="5"/>
      <c r="E33" s="24"/>
      <c r="F33" s="25"/>
      <c r="G33" s="25"/>
      <c r="H33" s="1"/>
      <c r="I33" s="26"/>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x14ac:dyDescent="0.2">
      <c r="A34" s="1"/>
      <c r="B34" s="1"/>
      <c r="C34" s="27"/>
      <c r="D34" s="5"/>
      <c r="E34" s="24"/>
      <c r="F34" s="25"/>
      <c r="G34" s="25"/>
      <c r="H34" s="1"/>
      <c r="I34" s="26"/>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2">
      <c r="A35" s="1"/>
      <c r="B35" s="1"/>
      <c r="C35" s="27"/>
      <c r="D35" s="5"/>
      <c r="E35" s="24"/>
      <c r="F35" s="25"/>
      <c r="G35" s="25"/>
      <c r="H35" s="1"/>
      <c r="I35" s="26"/>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2">
      <c r="A36" s="1"/>
      <c r="B36" s="1"/>
      <c r="C36" s="27"/>
      <c r="D36" s="5"/>
      <c r="E36" s="24"/>
      <c r="F36" s="25"/>
      <c r="G36" s="25"/>
      <c r="H36" s="1"/>
      <c r="I36" s="26"/>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2">
      <c r="A37" s="1"/>
      <c r="B37" s="1"/>
      <c r="C37" s="27"/>
      <c r="D37" s="5"/>
      <c r="E37" s="24"/>
      <c r="F37" s="25"/>
      <c r="G37" s="25"/>
      <c r="H37" s="1"/>
      <c r="I37" s="26"/>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2">
      <c r="A38" s="1"/>
      <c r="B38" s="1"/>
      <c r="C38" s="27"/>
      <c r="D38" s="5"/>
      <c r="E38" s="24"/>
      <c r="F38" s="25"/>
      <c r="G38" s="25"/>
      <c r="H38" s="1"/>
      <c r="I38" s="26"/>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1"/>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1"/>
      <c r="D135" s="1"/>
      <c r="E135" s="51"/>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1"/>
      <c r="D136" s="1"/>
      <c r="E136" s="51"/>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1"/>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2"/>
      <c r="F142" s="2"/>
      <c r="G142" s="25"/>
      <c r="H142" s="1"/>
      <c r="I142" s="26"/>
      <c r="J142" s="2" t="s">
        <v>102</v>
      </c>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28"/>
      <c r="F143" s="3"/>
      <c r="G143" s="25"/>
      <c r="H143" s="1"/>
      <c r="I143" s="26"/>
      <c r="J143" s="2" t="s">
        <v>101</v>
      </c>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3"/>
      <c r="F144" s="3"/>
      <c r="G144" s="25"/>
      <c r="H144" s="1"/>
      <c r="I144" s="26"/>
      <c r="J144" s="2" t="s">
        <v>100</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3"/>
      <c r="F145" s="3"/>
      <c r="G145" s="25"/>
      <c r="H145" s="1"/>
      <c r="I145" s="26"/>
      <c r="J145" s="2" t="s">
        <v>99</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2"/>
      <c r="B146" s="1"/>
      <c r="C146" s="1"/>
      <c r="D146" s="28"/>
      <c r="E146" s="65"/>
      <c r="F146" s="3"/>
      <c r="G146" s="25"/>
      <c r="H146" s="1"/>
      <c r="I146" s="2"/>
      <c r="J146" s="1" t="s">
        <v>98</v>
      </c>
      <c r="K146" s="3"/>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29"/>
      <c r="F147" s="3"/>
      <c r="G147" s="1"/>
      <c r="H147" s="2"/>
      <c r="I147" s="28"/>
      <c r="J147" s="28" t="s">
        <v>97</v>
      </c>
      <c r="K147" s="28"/>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1"/>
      <c r="B148" s="1"/>
      <c r="C148" s="1"/>
      <c r="D148" s="1"/>
      <c r="E148" s="3"/>
      <c r="F148" s="3"/>
      <c r="G148" s="30"/>
      <c r="H148" s="2"/>
      <c r="I148" s="3"/>
      <c r="J148" s="3" t="s">
        <v>96</v>
      </c>
      <c r="K148" s="3"/>
      <c r="L148" s="28"/>
      <c r="M148" s="31"/>
      <c r="N148" s="31"/>
      <c r="O148" s="31"/>
      <c r="P148" s="3"/>
      <c r="Q148" s="3"/>
      <c r="R148" s="3"/>
      <c r="S148" s="3"/>
      <c r="T148" s="3"/>
      <c r="U148" s="3"/>
      <c r="V148" s="4"/>
      <c r="W148" s="4"/>
      <c r="X148" s="4"/>
      <c r="Y148" s="4"/>
      <c r="Z148" s="4"/>
      <c r="AA148" s="4"/>
      <c r="AB148" s="4"/>
      <c r="AC148" s="4"/>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28"/>
      <c r="D149" s="2"/>
      <c r="E149" s="3"/>
      <c r="F149" s="3"/>
      <c r="G149" s="32"/>
      <c r="H149" s="28"/>
      <c r="I149" s="3"/>
      <c r="J149" s="28" t="s">
        <v>4</v>
      </c>
      <c r="K149" s="3" t="s">
        <v>10</v>
      </c>
      <c r="L149" s="28"/>
      <c r="M149" s="31"/>
      <c r="N149" s="31"/>
      <c r="O149" s="31"/>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2"/>
      <c r="D150" s="2"/>
      <c r="E150" s="3"/>
      <c r="F150" s="3"/>
      <c r="G150" s="33"/>
      <c r="H150" s="3"/>
      <c r="I150" s="3"/>
      <c r="J150" s="28" t="s">
        <v>11</v>
      </c>
      <c r="K150" s="3" t="s">
        <v>12</v>
      </c>
      <c r="L150" s="2"/>
      <c r="M150" s="1"/>
      <c r="N150" s="1"/>
      <c r="O150" s="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1"/>
      <c r="D151" s="5"/>
      <c r="E151" s="3"/>
      <c r="F151" s="34"/>
      <c r="G151" s="33"/>
      <c r="H151" s="3"/>
      <c r="I151" s="3"/>
      <c r="J151" s="28" t="s">
        <v>13</v>
      </c>
      <c r="K151" s="3"/>
      <c r="L151" s="1"/>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1"/>
      <c r="D152" s="5"/>
      <c r="E152" s="3"/>
      <c r="F152" s="34"/>
      <c r="G152" s="32"/>
      <c r="H152" s="3"/>
      <c r="I152" s="3"/>
      <c r="J152" s="28" t="s">
        <v>14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5"/>
      <c r="F153" s="34"/>
      <c r="G153" s="32"/>
      <c r="H153" s="3"/>
      <c r="I153" s="28"/>
      <c r="J153" s="28" t="s">
        <v>15</v>
      </c>
      <c r="K153" s="28"/>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4"/>
      <c r="F154" s="34"/>
      <c r="G154" s="32"/>
      <c r="H154" s="3"/>
      <c r="I154" s="28"/>
      <c r="J154" s="28" t="s">
        <v>16</v>
      </c>
      <c r="K154" s="28" t="s">
        <v>104</v>
      </c>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4"/>
      <c r="F155" s="34"/>
      <c r="G155" s="33"/>
      <c r="H155" s="28"/>
      <c r="I155" s="28"/>
      <c r="J155" s="28" t="s">
        <v>17</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3"/>
      <c r="H156" s="28"/>
      <c r="I156" s="36"/>
      <c r="J156" s="28" t="s">
        <v>18</v>
      </c>
      <c r="K156" s="36"/>
      <c r="L156" s="2"/>
      <c r="M156" s="2"/>
      <c r="N156" s="2"/>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7"/>
      <c r="H157" s="28"/>
      <c r="I157" s="36"/>
      <c r="J157" s="28" t="s">
        <v>19</v>
      </c>
      <c r="K157" s="36"/>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F158" s="34"/>
      <c r="G158" s="37"/>
      <c r="H158" s="28"/>
      <c r="I158" s="36"/>
      <c r="J158" s="28" t="s">
        <v>20</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
      <c r="H159" s="36"/>
      <c r="I159" s="36"/>
      <c r="J159" s="28" t="s">
        <v>21</v>
      </c>
      <c r="K159" s="36" t="s">
        <v>71</v>
      </c>
      <c r="L159" s="38"/>
      <c r="M159" s="38"/>
      <c r="N159" s="38"/>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E160" s="34"/>
      <c r="F160" s="34"/>
      <c r="G160" s="3"/>
      <c r="H160" s="36"/>
      <c r="I160" s="36"/>
      <c r="J160" s="28" t="s">
        <v>22</v>
      </c>
      <c r="K160" s="36" t="s">
        <v>73</v>
      </c>
      <c r="L160" s="38"/>
      <c r="M160" s="38"/>
      <c r="N160" s="38"/>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23</v>
      </c>
      <c r="K161" s="36"/>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
      <c r="G162" s="3"/>
      <c r="H162" s="36"/>
      <c r="I162" s="36"/>
      <c r="J162" s="28" t="s">
        <v>24</v>
      </c>
      <c r="K162" s="36"/>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
      <c r="G163" s="3"/>
      <c r="H163" s="36"/>
      <c r="I163" s="36"/>
      <c r="J163" s="28" t="s">
        <v>25</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
      <c r="F164" s="3"/>
      <c r="G164" s="3"/>
      <c r="H164" s="36"/>
      <c r="I164" s="36"/>
      <c r="J164" s="28" t="s">
        <v>26</v>
      </c>
      <c r="K164" s="67"/>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
      <c r="F165" s="3"/>
      <c r="G165" s="3"/>
      <c r="H165" s="36"/>
      <c r="I165" s="36"/>
      <c r="J165" s="28" t="s">
        <v>27</v>
      </c>
      <c r="K165" s="67"/>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28</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4"/>
      <c r="J167" s="28" t="s">
        <v>29</v>
      </c>
      <c r="K167" s="34"/>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29"/>
      <c r="F168" s="3"/>
      <c r="G168" s="3"/>
      <c r="H168" s="36"/>
      <c r="I168" s="34"/>
      <c r="J168" s="28" t="s">
        <v>30</v>
      </c>
      <c r="K168" s="34"/>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9"/>
      <c r="F169" s="3"/>
      <c r="G169" s="3"/>
      <c r="H169" s="28"/>
      <c r="I169" s="34"/>
      <c r="J169" s="28" t="s">
        <v>31</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3"/>
      <c r="F170" s="3"/>
      <c r="G170" s="3"/>
      <c r="H170" s="28"/>
      <c r="I170" s="34"/>
      <c r="J170" s="28" t="s">
        <v>32</v>
      </c>
      <c r="K170" s="34"/>
      <c r="L170" s="40"/>
      <c r="M170" s="40"/>
      <c r="N170" s="40"/>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
      <c r="F171" s="3"/>
      <c r="G171" s="3"/>
      <c r="H171" s="3"/>
      <c r="I171" s="34"/>
      <c r="J171" s="28" t="s">
        <v>33</v>
      </c>
      <c r="K171" s="34"/>
      <c r="L171" s="40"/>
      <c r="M171" s="40"/>
      <c r="N171" s="40"/>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t="s">
        <v>7</v>
      </c>
      <c r="F172" s="3"/>
      <c r="G172" s="3"/>
      <c r="H172" s="3"/>
      <c r="I172" s="34"/>
      <c r="J172" s="28" t="s">
        <v>34</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t="s">
        <v>35</v>
      </c>
      <c r="F173" s="3"/>
      <c r="G173" s="3"/>
      <c r="H173" s="3"/>
      <c r="I173" s="34"/>
      <c r="J173" s="28" t="s">
        <v>36</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c r="F174" s="3"/>
      <c r="G174" s="3"/>
      <c r="H174" s="3"/>
      <c r="I174" s="3"/>
      <c r="J174" s="28" t="s">
        <v>37</v>
      </c>
      <c r="K174" s="3"/>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c r="F175" s="3"/>
      <c r="G175" s="3"/>
      <c r="H175" s="3"/>
      <c r="I175" s="3"/>
      <c r="J175" s="28" t="s">
        <v>38</v>
      </c>
      <c r="K175" s="3"/>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39</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40</v>
      </c>
      <c r="K177" s="3"/>
      <c r="L177" s="1"/>
      <c r="M177" s="1"/>
      <c r="N177" s="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41</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42</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43</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44</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45</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46</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47</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48</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49</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50</v>
      </c>
      <c r="K187" s="3"/>
      <c r="L187" s="3"/>
      <c r="M187" s="3"/>
      <c r="N187" s="3"/>
      <c r="O187" s="3"/>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51</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52</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53</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54</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57</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59</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60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61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3"/>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41">
        <v>2010</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41">
        <f>J201+2</f>
        <v>2012</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2"/>
      <c r="E203" s="3"/>
      <c r="F203" s="3"/>
      <c r="G203" s="3"/>
      <c r="H203" s="3"/>
      <c r="I203" s="3"/>
      <c r="J203" s="41">
        <f t="shared" ref="J203:J221" si="0">J202+2</f>
        <v>2014</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2"/>
      <c r="E204" s="3"/>
      <c r="F204" s="3"/>
      <c r="G204" s="3"/>
      <c r="H204" s="3"/>
      <c r="I204" s="3"/>
      <c r="J204" s="41">
        <f t="shared" si="0"/>
        <v>2016</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si="0"/>
        <v>2018</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28"/>
      <c r="F206" s="3"/>
      <c r="G206" s="3"/>
      <c r="H206" s="3"/>
      <c r="I206" s="3"/>
      <c r="J206" s="41">
        <f t="shared" si="0"/>
        <v>2020</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2022</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9"/>
      <c r="F208" s="3"/>
      <c r="G208" s="3"/>
      <c r="H208" s="3"/>
      <c r="I208" s="3"/>
      <c r="J208" s="41">
        <f t="shared" si="0"/>
        <v>2024</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2026</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3"/>
      <c r="F210" s="3"/>
      <c r="G210" s="3"/>
      <c r="H210" s="3"/>
      <c r="I210" s="3"/>
      <c r="J210" s="41">
        <f t="shared" si="0"/>
        <v>2028</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2030</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2032</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2034</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2036</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2038</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47"/>
      <c r="F216" s="3"/>
      <c r="G216" s="3"/>
      <c r="H216" s="3"/>
      <c r="I216" s="3"/>
      <c r="J216" s="41">
        <f t="shared" si="0"/>
        <v>2040</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44"/>
      <c r="F217" s="3"/>
      <c r="G217" s="3"/>
      <c r="H217" s="3"/>
      <c r="I217" s="3"/>
      <c r="J217" s="41">
        <f t="shared" si="0"/>
        <v>2042</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4"/>
      <c r="F218" s="3"/>
      <c r="G218" s="3"/>
      <c r="H218" s="3"/>
      <c r="I218" s="3"/>
      <c r="J218" s="41">
        <f t="shared" si="0"/>
        <v>2044</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2046</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2048</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2050</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3"/>
      <c r="F222" s="3"/>
      <c r="G222" s="3"/>
      <c r="H222" s="3"/>
      <c r="I222" s="3"/>
      <c r="J222" s="3"/>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65" t="s">
        <v>80</v>
      </c>
      <c r="K228" s="65"/>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65" t="s">
        <v>81</v>
      </c>
      <c r="K229" s="65"/>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82</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83</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84</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85</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86</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87</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52"/>
      <c r="F236" s="3"/>
      <c r="G236" s="3"/>
      <c r="H236" s="3"/>
      <c r="I236" s="3"/>
      <c r="J236" s="65" t="s">
        <v>62</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52"/>
      <c r="F237" s="3"/>
      <c r="G237" s="3"/>
      <c r="H237" s="3"/>
      <c r="I237" s="3"/>
      <c r="J237" s="65"/>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3"/>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3"/>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44"/>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44"/>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3"/>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J247" s="52" t="s">
        <v>88</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J248" s="52" t="s">
        <v>89</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90</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62</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1"/>
      <c r="E251" s="3"/>
      <c r="F251" s="3"/>
      <c r="G251" s="3"/>
      <c r="H251" s="3"/>
      <c r="I251" s="3"/>
      <c r="J251" s="5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1"/>
      <c r="E252" s="3"/>
      <c r="F252" s="3"/>
      <c r="G252" s="3"/>
      <c r="H252" s="3"/>
      <c r="I252" s="3"/>
      <c r="J252" s="52"/>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J255" s="52"/>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5"/>
      <c r="B285" s="5"/>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4"/>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4"/>
      <c r="G288" s="3"/>
      <c r="H288" s="3"/>
      <c r="I288" s="3"/>
      <c r="J288" s="4"/>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4"/>
      <c r="J290" s="4"/>
      <c r="K290" s="4"/>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4"/>
      <c r="J291" s="4"/>
      <c r="K291" s="4"/>
      <c r="L291" s="4"/>
      <c r="M291" s="4"/>
      <c r="N291" s="4"/>
      <c r="O291" s="4"/>
      <c r="P291" s="4"/>
      <c r="Q291" s="4"/>
      <c r="R291" s="4"/>
      <c r="S291" s="4"/>
      <c r="T291" s="4"/>
      <c r="U291" s="4"/>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5"/>
      <c r="D292" s="5"/>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5"/>
      <c r="D293" s="5"/>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5"/>
      <c r="G342" s="4"/>
      <c r="H342" s="4"/>
      <c r="I342" s="4"/>
      <c r="J342" s="5"/>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5"/>
      <c r="F344" s="5"/>
      <c r="G344" s="4"/>
      <c r="H344" s="4"/>
      <c r="I344" s="5"/>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5"/>
      <c r="H348" s="5"/>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42"/>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42"/>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42"/>
      <c r="D1239" s="42"/>
      <c r="E1239" s="5"/>
      <c r="G1239" s="5"/>
      <c r="H1239" s="5"/>
      <c r="I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42"/>
      <c r="D1240" s="42"/>
      <c r="E1240" s="42"/>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42"/>
      <c r="G1241" s="5"/>
      <c r="H1241" s="5"/>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row>
    <row r="1243" spans="1:50" x14ac:dyDescent="0.2">
      <c r="A1243" s="42"/>
      <c r="E1243" s="42"/>
      <c r="G1243" s="5"/>
      <c r="H1243" s="5"/>
    </row>
    <row r="1244" spans="1:50" x14ac:dyDescent="0.2">
      <c r="A1244" s="42"/>
      <c r="E1244" s="42"/>
    </row>
    <row r="1245" spans="1:50" x14ac:dyDescent="0.2">
      <c r="A1245" s="42"/>
    </row>
    <row r="1246" spans="1:50" x14ac:dyDescent="0.2">
      <c r="A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sheetData>
  <dataValidations count="10">
    <dataValidation type="list" allowBlank="1" showInputMessage="1" showErrorMessage="1" sqref="D10" xr:uid="{00000000-0002-0000-0000-000000000000}">
      <formula1>$J$142:$J$198</formula1>
    </dataValidation>
    <dataValidation type="whole" showInputMessage="1" showErrorMessage="1" sqref="D23" xr:uid="{00000000-0002-0000-0000-000002000000}">
      <formula1>-10000000000</formula1>
      <formula2>10000000000</formula2>
    </dataValidation>
    <dataValidation type="list" allowBlank="1" showInputMessage="1" showErrorMessage="1" sqref="D12" xr:uid="{00000000-0002-0000-0000-000003000000}">
      <formula1>$J$205:$J$221</formula1>
    </dataValidation>
    <dataValidation type="list" allowBlank="1" showInputMessage="1" showErrorMessage="1" sqref="D11" xr:uid="{00000000-0002-0000-0000-000004000000}">
      <formula1>$E$171:$E$174</formula1>
    </dataValidation>
    <dataValidation type="list" allowBlank="1" showInputMessage="1" showErrorMessage="1" sqref="D18" xr:uid="{00000000-0002-0000-0000-000008000000}">
      <formula1>$E$239:$E$239</formula1>
    </dataValidation>
    <dataValidation type="list" allowBlank="1" showInputMessage="1" showErrorMessage="1" sqref="D8" xr:uid="{00000000-0002-0000-0000-00000C000000}">
      <formula1>$K$154:$K$155</formula1>
    </dataValidation>
    <dataValidation type="list" allowBlank="1" showInputMessage="1" showErrorMessage="1" sqref="D9" xr:uid="{00000000-0002-0000-0000-00000D000000}">
      <formula1>$K$160:$K$160</formula1>
    </dataValidation>
    <dataValidation type="list" allowBlank="1" showInputMessage="1" showErrorMessage="1" sqref="D19:D22 D15 D17" xr:uid="{00000000-0002-0000-0000-00000B000000}">
      <formula1>$J$256:$J$256</formula1>
    </dataValidation>
    <dataValidation type="list" allowBlank="1" showInputMessage="1" showErrorMessage="1" sqref="D13:D14" xr:uid="{00000000-0002-0000-0000-000009000000}">
      <formula1>$J$228:$J$236</formula1>
    </dataValidation>
    <dataValidation type="list" allowBlank="1" showInputMessage="1" showErrorMessage="1" sqref="D16" xr:uid="{18884C9B-55E8-4B93-A9FC-662B787590D6}">
      <formula1>$J$247:$J$250</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24</xdr:row>
                    <xdr:rowOff>50800</xdr:rowOff>
                  </from>
                  <to>
                    <xdr:col>4</xdr:col>
                    <xdr:colOff>12700</xdr:colOff>
                    <xdr:row>26</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14</vt:i4>
      </vt:variant>
    </vt:vector>
  </HeadingPairs>
  <TitlesOfParts>
    <vt:vector size="15"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pv_price_traj_user_defined</vt:lpstr>
      <vt:lpstr>pv_tech_traj_user_defined</vt:lpstr>
      <vt:lpstr>run_solar</vt:lpstr>
      <vt:lpstr>run_wind</vt:lpstr>
      <vt:lpstr>scenario_options_main</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2020-12-01T01:04:38Z</dcterms:modified>
</cp:coreProperties>
</file>